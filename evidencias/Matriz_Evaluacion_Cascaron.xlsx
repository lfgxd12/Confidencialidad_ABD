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Escala" sheetId="2" state="visible" r:id="rId2"/>
    <sheet xmlns:r="http://schemas.openxmlformats.org/officeDocument/2006/relationships" name="Umbr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3" customWidth="1" min="4" max="4"/>
    <col width="58" customWidth="1" min="5" max="5"/>
    <col width="12" customWidth="1" min="6" max="6"/>
    <col width="45" customWidth="1" min="7" max="7"/>
  </cols>
  <sheetData>
    <row r="1">
      <c r="A1" s="1" t="inlineStr">
        <is>
          <t>Tarea</t>
        </is>
      </c>
      <c r="B1" s="1" t="inlineStr">
        <is>
          <t>Riesgo</t>
        </is>
      </c>
      <c r="C1" s="1" t="inlineStr">
        <is>
          <t>Control</t>
        </is>
      </c>
      <c r="D1" s="1" t="inlineStr">
        <is>
          <t>Criterio 0-4</t>
        </is>
      </c>
      <c r="E1" s="1" t="inlineStr">
        <is>
          <t>Evidencia</t>
        </is>
      </c>
      <c r="F1" s="1" t="inlineStr">
        <is>
          <t>Estado</t>
        </is>
      </c>
      <c r="G1" s="1" t="inlineStr">
        <is>
          <t>Observaciones / resultado obtenido</t>
        </is>
      </c>
    </row>
    <row r="2">
      <c r="A2" s="2" t="inlineStr">
        <is>
          <t>T-01</t>
        </is>
      </c>
      <c r="B2" s="2" t="inlineStr">
        <is>
          <t>R-CONF-01</t>
        </is>
      </c>
      <c r="C2" s="2" t="inlineStr">
        <is>
          <t>A5.18</t>
        </is>
      </c>
      <c r="D2" s="2" t="n"/>
      <c r="E2" s="2" t="inlineStr">
        <is>
          <t>Cuentas sin uso en 120 días (OBS-09) (S)</t>
        </is>
      </c>
      <c r="F2" s="2">
        <f>IF(D2="","",IF(D2=4,"Cumple",IF(D2&gt;=2,"Parcial","No cumple")))</f>
        <v/>
      </c>
      <c r="G2" s="2" t="n"/>
    </row>
    <row r="3">
      <c r="A3" s="2" t="inlineStr">
        <is>
          <t>T-02</t>
        </is>
      </c>
      <c r="B3" s="2" t="inlineStr">
        <is>
          <t>R-CONF-01</t>
        </is>
      </c>
      <c r="C3" s="2" t="inlineStr">
        <is>
          <t>A8.2</t>
        </is>
      </c>
      <c r="D3" s="2" t="n"/>
      <c r="E3" s="2" t="inlineStr">
        <is>
          <t>Cuentas con privilegios ANY (OBS-01) (S)</t>
        </is>
      </c>
      <c r="F3" s="2">
        <f>IF(D3="","",IF(D3=4,"Cumple",IF(D3&gt;=2,"Parcial","No cumple")))</f>
        <v/>
      </c>
      <c r="G3" s="2" t="n"/>
    </row>
    <row r="4">
      <c r="A4" s="2" t="inlineStr">
        <is>
          <t>T-03</t>
        </is>
      </c>
      <c r="B4" s="2" t="inlineStr">
        <is>
          <t>R-CONF-01</t>
        </is>
      </c>
      <c r="C4" s="2" t="inlineStr">
        <is>
          <t>A8.2</t>
        </is>
      </c>
      <c r="D4" s="2" t="n"/>
      <c r="E4" s="2" t="inlineStr">
        <is>
          <t>Cuentas con el rol DBA (OBS-02) (S)</t>
        </is>
      </c>
      <c r="F4" s="2">
        <f>IF(D4="","",IF(D4=4,"Cumple",IF(D4&gt;=2,"Parcial","No cumple")))</f>
        <v/>
      </c>
      <c r="G4" s="2" t="n"/>
    </row>
    <row r="5">
      <c r="A5" s="2" t="inlineStr">
        <is>
          <t>T-04</t>
        </is>
      </c>
      <c r="B5" s="2" t="inlineStr">
        <is>
          <t>R-CONF-02</t>
        </is>
      </c>
      <c r="C5" s="2" t="inlineStr">
        <is>
          <t>A5.17</t>
        </is>
      </c>
      <c r="D5" s="2" t="n"/>
      <c r="E5" s="2" t="inlineStr">
        <is>
          <t>Contraseñas por defecto (OBS-07) (S)</t>
        </is>
      </c>
      <c r="F5" s="2">
        <f>IF(D5="","",IF(D5=4,"Cumple",IF(D5&gt;=2,"Parcial","No cumple")))</f>
        <v/>
      </c>
      <c r="G5" s="2" t="n"/>
    </row>
    <row r="6">
      <c r="A6" s="2" t="inlineStr">
        <is>
          <t>T-04</t>
        </is>
      </c>
      <c r="B6" s="2" t="inlineStr">
        <is>
          <t>R-CONF-02</t>
        </is>
      </c>
      <c r="C6" s="2" t="inlineStr">
        <is>
          <t>A8.5</t>
        </is>
      </c>
      <c r="D6" s="2" t="n"/>
      <c r="E6" s="2" t="inlineStr">
        <is>
          <t>FAILED_LOGIN_ATTEMPTS del perfil DEFAULT (OBS-08) (S)</t>
        </is>
      </c>
      <c r="F6" s="2">
        <f>IF(D6="","",IF(D6=4,"Cumple",IF(D6&gt;=2,"Parcial","No cumple")))</f>
        <v/>
      </c>
      <c r="G6" s="2" t="n"/>
    </row>
    <row r="7">
      <c r="A7" s="2" t="inlineStr">
        <is>
          <t>T-04</t>
        </is>
      </c>
      <c r="B7" s="2" t="inlineStr">
        <is>
          <t>R-CONF-02</t>
        </is>
      </c>
      <c r="C7" s="2" t="inlineStr">
        <is>
          <t>A5.17</t>
        </is>
      </c>
      <c r="D7" s="2" t="n"/>
      <c r="E7" s="2" t="inlineStr">
        <is>
          <t>PASSWORD_LIFE_TIME, LOCK_TIME y función de verificación (OBS-08) (S)</t>
        </is>
      </c>
      <c r="F7" s="2">
        <f>IF(D7="","",IF(D7=4,"Cumple",IF(D7&gt;=2,"Parcial","No cumple")))</f>
        <v/>
      </c>
      <c r="G7" s="2" t="n"/>
    </row>
    <row r="8">
      <c r="A8" s="2" t="inlineStr">
        <is>
          <t>T-05</t>
        </is>
      </c>
      <c r="B8" s="2" t="inlineStr">
        <is>
          <t>R-CONF-04</t>
        </is>
      </c>
      <c r="C8" s="2" t="inlineStr">
        <is>
          <t>A5.12</t>
        </is>
      </c>
      <c r="D8" s="2" t="n"/>
      <c r="E8" s="2" t="inlineStr">
        <is>
          <t>Columnas clasificadas (OBS-12)</t>
        </is>
      </c>
      <c r="F8" s="2">
        <f>IF(D8="","",IF(D8=4,"Cumple",IF(D8&gt;=2,"Parcial","No cumple")))</f>
        <v/>
      </c>
      <c r="G8" s="2" t="n"/>
    </row>
    <row r="9">
      <c r="A9" s="2" t="inlineStr">
        <is>
          <t>T-06</t>
        </is>
      </c>
      <c r="B9" s="2" t="inlineStr">
        <is>
          <t>R-CONF-03</t>
        </is>
      </c>
      <c r="C9" s="2" t="inlineStr">
        <is>
          <t>A8.24</t>
        </is>
      </c>
      <c r="D9" s="2" t="n"/>
      <c r="E9" s="2" t="inlineStr">
        <is>
          <t>Almacén de llaves abierto (OBS-10) (S)</t>
        </is>
      </c>
      <c r="F9" s="2">
        <f>IF(D9="","",IF(D9=4,"Cumple",IF(D9&gt;=2,"Parcial","No cumple")))</f>
        <v/>
      </c>
      <c r="G9" s="2" t="n"/>
    </row>
    <row r="10">
      <c r="A10" s="2" t="inlineStr">
        <is>
          <t>T-07</t>
        </is>
      </c>
      <c r="B10" s="2" t="inlineStr">
        <is>
          <t>R-CONF-04</t>
        </is>
      </c>
      <c r="C10" s="2" t="inlineStr">
        <is>
          <t>A8.11</t>
        </is>
      </c>
      <c r="D10" s="2" t="n"/>
      <c r="E10" s="2" t="inlineStr">
        <is>
          <t>Vista de masking y privilegios (OBS-13)</t>
        </is>
      </c>
      <c r="F10" s="2">
        <f>IF(D10="","",IF(D10=4,"Cumple",IF(D10&gt;=2,"Parcial","No cumple")))</f>
        <v/>
      </c>
      <c r="G10" s="2" t="n"/>
    </row>
    <row r="11">
      <c r="A11" s="2" t="inlineStr">
        <is>
          <t>T-08</t>
        </is>
      </c>
      <c r="B11" s="2" t="inlineStr">
        <is>
          <t>R-CONF-03</t>
        </is>
      </c>
      <c r="C11" s="2" t="inlineStr">
        <is>
          <t>A8.13</t>
        </is>
      </c>
      <c r="D11" s="2" t="n"/>
      <c r="E11" s="2" t="inlineStr">
        <is>
          <t>ARCHIVELOG y respaldo reciente (script 06) (S)</t>
        </is>
      </c>
      <c r="F11" s="2">
        <f>IF(D11="","",IF(D11=4,"Cumple",IF(D11&gt;=2,"Parcial","No cumple")))</f>
        <v/>
      </c>
      <c r="G11" s="2" t="n"/>
    </row>
    <row r="12">
      <c r="A12" s="2" t="inlineStr">
        <is>
          <t>T-09</t>
        </is>
      </c>
      <c r="B12" s="2" t="inlineStr">
        <is>
          <t>R-CONF-05</t>
        </is>
      </c>
      <c r="C12" s="2" t="inlineStr">
        <is>
          <t>A8.15</t>
        </is>
      </c>
      <c r="D12" s="2" t="n"/>
      <c r="E12" s="2" t="inlineStr">
        <is>
          <t>Políticas de auditoría activas (OBS-14) (S)</t>
        </is>
      </c>
      <c r="F12" s="2">
        <f>IF(D12="","",IF(D12=4,"Cumple",IF(D12&gt;=2,"Parcial","No cumple")))</f>
        <v/>
      </c>
      <c r="G12" s="2" t="n"/>
    </row>
    <row r="13">
      <c r="A13" s="2" t="inlineStr">
        <is>
          <t>T-10</t>
        </is>
      </c>
      <c r="B13" s="2" t="inlineStr">
        <is>
          <t>R-CONF-05</t>
        </is>
      </c>
      <c r="C13" s="2" t="inlineStr">
        <is>
          <t>A5.33</t>
        </is>
      </c>
      <c r="D13" s="2" t="n"/>
      <c r="E13" s="2" t="inlineStr">
        <is>
          <t>Retención de auditoría y redo (scripts 05b y 06)</t>
        </is>
      </c>
      <c r="F13" s="2">
        <f>IF(D13="","",IF(D13=4,"Cumple",IF(D13&gt;=2,"Parcial","No cumple")))</f>
        <v/>
      </c>
      <c r="G13" s="2" t="n"/>
    </row>
    <row r="14">
      <c r="A14" s="2" t="inlineStr">
        <is>
          <t>T-11</t>
        </is>
      </c>
      <c r="B14" s="2" t="inlineStr">
        <is>
          <t>R-CONF-01</t>
        </is>
      </c>
      <c r="C14" s="2" t="inlineStr">
        <is>
          <t>A8.8</t>
        </is>
      </c>
      <c r="D14" s="2" t="n"/>
      <c r="E14" s="2" t="inlineStr">
        <is>
          <t>Parches aplicados (script 06) (S)</t>
        </is>
      </c>
      <c r="F14" s="2">
        <f>IF(D14="","",IF(D14=4,"Cumple",IF(D14&gt;=2,"Parcial","No cumple")))</f>
        <v/>
      </c>
      <c r="G14" s="2" t="n"/>
    </row>
    <row r="15">
      <c r="A15" s="2" t="inlineStr">
        <is>
          <t>T-12</t>
        </is>
      </c>
      <c r="B15" s="2" t="inlineStr">
        <is>
          <t>R-CONF-06</t>
        </is>
      </c>
      <c r="C15" s="2" t="inlineStr">
        <is>
          <t>A8.20</t>
        </is>
      </c>
      <c r="D15" s="2" t="n"/>
      <c r="E15" s="2" t="inlineStr">
        <is>
          <t>Cifrado de red observado (OBS-11) (S)</t>
        </is>
      </c>
      <c r="F15" s="2">
        <f>IF(D15="","",IF(D15=4,"Cumple",IF(D15&gt;=2,"Parcial","No cumple")))</f>
        <v/>
      </c>
      <c r="G15" s="2" t="n"/>
    </row>
    <row r="16">
      <c r="A16" s="2" t="inlineStr">
        <is>
          <t>T-13</t>
        </is>
      </c>
      <c r="B16" s="2" t="inlineStr">
        <is>
          <t>R-CONF-03</t>
        </is>
      </c>
      <c r="C16" s="2" t="inlineStr">
        <is>
          <t>A8.10</t>
        </is>
      </c>
      <c r="D16" s="2" t="n"/>
      <c r="E16" s="2" t="inlineStr">
        <is>
          <t>Papelera y borrado de archivos (script 06)</t>
        </is>
      </c>
      <c r="F16" s="2">
        <f>IF(D16="","",IF(D16=4,"Cumple",IF(D16&gt;=2,"Parcial","No cumple")))</f>
        <v/>
      </c>
      <c r="G16" s="2" t="n"/>
    </row>
    <row r="17">
      <c r="A17" s="2" t="inlineStr">
        <is>
          <t>T-14</t>
        </is>
      </c>
      <c r="B17" s="2" t="inlineStr">
        <is>
          <t>R-CONF-04</t>
        </is>
      </c>
      <c r="C17" s="2" t="inlineStr">
        <is>
          <t>A8.12</t>
        </is>
      </c>
      <c r="D17" s="2" t="n"/>
      <c r="E17" s="2" t="inlineStr">
        <is>
          <t>PUBLIC con EXECUTE en UTL_* (OBS-05) (S)</t>
        </is>
      </c>
      <c r="F17" s="2">
        <f>IF(D17="","",IF(D17=4,"Cumple",IF(D17&gt;=2,"Parcial","No cumple")))</f>
        <v/>
      </c>
      <c r="G17" s="2" t="n"/>
    </row>
  </sheetData>
  <conditionalFormatting sqref="F2:F17">
    <cfRule type="cellIs" priority="1" operator="equal" dxfId="0">
      <formula>"Cumple"</formula>
    </cfRule>
    <cfRule type="cellIs" priority="2" operator="equal" dxfId="1">
      <formula>"Parcial"</formula>
    </cfRule>
    <cfRule type="cellIs" priority="3" operator="equal" dxfId="2">
      <formula>"No cumple"</formula>
    </cfRule>
  </conditionalFormatting>
  <dataValidations count="1">
    <dataValidation sqref="D2:D17" showDropDown="0" showInputMessage="0" showErrorMessage="1" allowBlank="0" errorTitle="Criterio" error="Valor entero de 0 a 4" type="whole" operator="between">
      <formula1>0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5" customWidth="1" min="3" max="3"/>
  </cols>
  <sheetData>
    <row r="1">
      <c r="A1" s="3" t="inlineStr">
        <is>
          <t>Nivel</t>
        </is>
      </c>
      <c r="B1" s="3" t="inlineStr">
        <is>
          <t>Denominación</t>
        </is>
      </c>
      <c r="C1" s="3" t="inlineStr">
        <is>
          <t>Descripción</t>
        </is>
      </c>
    </row>
    <row r="2">
      <c r="A2" t="n">
        <v>0</v>
      </c>
      <c r="B2" t="inlineStr">
        <is>
          <t>Inexistente</t>
        </is>
      </c>
      <c r="C2" t="inlineStr">
        <is>
          <t>El control no existe o no se aplica</t>
        </is>
      </c>
    </row>
    <row r="3">
      <c r="A3" t="n">
        <v>1</v>
      </c>
      <c r="B3" t="inlineStr">
        <is>
          <t>Inicial</t>
        </is>
      </c>
      <c r="C3" t="inlineStr">
        <is>
          <t>Se aplica de forma ocasional y sin documentar</t>
        </is>
      </c>
    </row>
    <row r="4">
      <c r="A4" t="n">
        <v>2</v>
      </c>
      <c r="B4" t="inlineStr">
        <is>
          <t>Repetible</t>
        </is>
      </c>
      <c r="C4" t="inlineStr">
        <is>
          <t>Se aplica con regularidad pero con excepciones o sin evidencia completa</t>
        </is>
      </c>
    </row>
    <row r="5">
      <c r="A5" t="n">
        <v>3</v>
      </c>
      <c r="B5" t="inlineStr">
        <is>
          <t>Definido</t>
        </is>
      </c>
      <c r="C5" t="inlineStr">
        <is>
          <t>Procedimiento documentado y aplicado, con evidencia, pendiente de medición</t>
        </is>
      </c>
    </row>
    <row r="6">
      <c r="A6" t="n">
        <v>4</v>
      </c>
      <c r="B6" t="inlineStr">
        <is>
          <t>Gestionado</t>
        </is>
      </c>
      <c r="C6" t="inlineStr">
        <is>
          <t>Aplicado, medido, revisado periódicamente y con evidencia auditable</t>
        </is>
      </c>
    </row>
    <row r="8">
      <c r="A8" t="inlineStr">
        <is>
          <t>Estado</t>
        </is>
      </c>
      <c r="B8" t="inlineStr">
        <is>
          <t>4 = Cumple; 2 y 3 = Parcial; 0 y 1 = No cumple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60" customWidth="1" min="3" max="3"/>
    <col width="20" customWidth="1" min="4" max="4"/>
  </cols>
  <sheetData>
    <row r="1">
      <c r="A1" s="3" t="inlineStr">
        <is>
          <t>Verificación</t>
        </is>
      </c>
      <c r="B1" s="3" t="inlineStr">
        <is>
          <t>Valor para criterio 4</t>
        </is>
      </c>
      <c r="C1" s="3" t="inlineStr">
        <is>
          <t>Fuente</t>
        </is>
      </c>
      <c r="D1" s="3" t="inlineStr">
        <is>
          <t>Tipo</t>
        </is>
      </c>
    </row>
    <row r="2">
      <c r="A2" t="inlineStr">
        <is>
          <t>FAILED_LOGIN_ATTEMPTS</t>
        </is>
      </c>
      <c r="B2" t="inlineStr">
        <is>
          <t>5 o menos</t>
        </is>
      </c>
      <c r="C2" t="inlineStr">
        <is>
          <t>CIS Oracle 19c v1.1.0, rec. 3.1 (STIG V-270550: 3 o menos)</t>
        </is>
      </c>
      <c r="D2" t="inlineStr">
        <is>
          <t>Referencia externa</t>
        </is>
      </c>
    </row>
    <row r="3">
      <c r="A3" t="inlineStr">
        <is>
          <t>PASSWORD_LIFE_TIME</t>
        </is>
      </c>
      <c r="B3" t="inlineStr">
        <is>
          <t>90 o menos</t>
        </is>
      </c>
      <c r="C3" t="inlineStr">
        <is>
          <t>CIS 3.3</t>
        </is>
      </c>
      <c r="D3" t="inlineStr">
        <is>
          <t>Referencia externa</t>
        </is>
      </c>
    </row>
    <row r="4">
      <c r="A4" t="inlineStr">
        <is>
          <t>PASSWORD_LOCK_TIME</t>
        </is>
      </c>
      <c r="B4" t="inlineStr">
        <is>
          <t>1 o mayor</t>
        </is>
      </c>
      <c r="C4" t="inlineStr">
        <is>
          <t>CIS 3.2</t>
        </is>
      </c>
      <c r="D4" t="inlineStr">
        <is>
          <t>Referencia externa</t>
        </is>
      </c>
    </row>
    <row r="5">
      <c r="A5" t="inlineStr">
        <is>
          <t>PASSWORD_VERIFY_FUNCTION</t>
        </is>
      </c>
      <c r="B5" t="inlineStr">
        <is>
          <t>Asignada</t>
        </is>
      </c>
      <c r="C5" t="inlineStr">
        <is>
          <t>CIS 3.7</t>
        </is>
      </c>
      <c r="D5" t="inlineStr">
        <is>
          <t>Referencia externa</t>
        </is>
      </c>
    </row>
    <row r="6">
      <c r="A6" t="inlineStr">
        <is>
          <t>INACTIVE_ACCOUNT_TIME</t>
        </is>
      </c>
      <c r="B6" t="inlineStr">
        <is>
          <t>120 o menos</t>
        </is>
      </c>
      <c r="C6" t="inlineStr">
        <is>
          <t>CIS 3.9</t>
        </is>
      </c>
      <c r="D6" t="inlineStr">
        <is>
          <t>Referencia externa</t>
        </is>
      </c>
    </row>
    <row r="7">
      <c r="A7" t="inlineStr">
        <is>
          <t>Contraseñas por defecto</t>
        </is>
      </c>
      <c r="B7" t="inlineStr">
        <is>
          <t>Ninguna</t>
        </is>
      </c>
      <c r="C7" t="inlineStr">
        <is>
          <t>CIS 4.1</t>
        </is>
      </c>
      <c r="D7" t="inlineStr">
        <is>
          <t>Referencia externa</t>
        </is>
      </c>
    </row>
    <row r="8">
      <c r="A8" t="inlineStr">
        <is>
          <t>Privilegios ANY, rol DBA, PUBLIC con UTL_*, TDE, auditoría, respaldo, red, parches</t>
        </is>
      </c>
      <c r="B8" t="inlineStr">
        <is>
          <t>Ver Tabla 7 del informe</t>
        </is>
      </c>
      <c r="C8" t="inlineStr">
        <is>
          <t>Oracle Security Guide 21c; ISO/IEC 27002:2022</t>
        </is>
      </c>
      <c r="D8" t="inlineStr">
        <is>
          <t>Criterio del autor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2026-10-16T21:09:33Z</dcterms:created>
  <dcterms:modified xmlns:dcterms="http://purl.org/dc/terms/" xmlns:xsi="http://www.w3.org/2001/XMLSchema-instance" xsi:type="dcterms:W3CDTF">2026-10-16T21:09:33Z</dcterms:modified>
</cp:coreProperties>
</file>